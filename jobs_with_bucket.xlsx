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itcomplexg\Downloads\"/>
    </mc:Choice>
  </mc:AlternateContent>
  <xr:revisionPtr revIDLastSave="0" documentId="13_ncr:1_{59447AF3-EE14-4E18-ACDD-72C35EE2AE19}" xr6:coauthVersionLast="47" xr6:coauthVersionMax="47" xr10:uidLastSave="{00000000-0000-0000-0000-000000000000}"/>
  <bookViews>
    <workbookView xWindow="-120" yWindow="-120" windowWidth="29040" windowHeight="15720" xr2:uid="{00000000-000D-0000-FFFF-FFFF00000000}"/>
  </bookViews>
  <sheets>
    <sheet name="Sheet1" sheetId="1" r:id="rId1"/>
    <sheet name="Config" sheetId="2" r:id="rId2"/>
  </sheets>
  <definedNames>
    <definedName name="PreferredCountries">Config!$A$2:$A$200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1" l="1"/>
  <c r="R2" i="1" s="1"/>
  <c r="Q3" i="1"/>
  <c r="R3" i="1" s="1"/>
  <c r="Q6" i="1"/>
  <c r="Q5" i="1"/>
  <c r="R6" i="1" s="1"/>
  <c r="Q14" i="1"/>
  <c r="R14" i="1" s="1"/>
  <c r="Q13" i="1"/>
  <c r="R13" i="1" s="1"/>
  <c r="Q12" i="1"/>
  <c r="R12" i="1" s="1"/>
  <c r="Q11" i="1"/>
  <c r="R11" i="1" s="1"/>
  <c r="Q10" i="1"/>
  <c r="R10" i="1" s="1"/>
  <c r="Q9" i="1"/>
  <c r="R9" i="1" s="1"/>
  <c r="Q8" i="1"/>
  <c r="R8" i="1" s="1"/>
  <c r="Q7" i="1"/>
  <c r="R7" i="1" s="1"/>
  <c r="Q4" i="1"/>
  <c r="R4" i="1" s="1"/>
  <c r="R5" i="1" l="1"/>
</calcChain>
</file>

<file path=xl/sharedStrings.xml><?xml version="1.0" encoding="utf-8"?>
<sst xmlns="http://schemas.openxmlformats.org/spreadsheetml/2006/main" count="172" uniqueCount="144">
  <si>
    <t>Job Title</t>
  </si>
  <si>
    <t>Job Description</t>
  </si>
  <si>
    <t>Client Details (Raw)</t>
  </si>
  <si>
    <t>Skills (Raw)</t>
  </si>
  <si>
    <t>Client Country</t>
  </si>
  <si>
    <t>Payment Verified</t>
  </si>
  <si>
    <t>Client Rating</t>
  </si>
  <si>
    <t>Jobs Posted</t>
  </si>
  <si>
    <t>Hire Rate (%)</t>
  </si>
  <si>
    <t>Total Spent ($)</t>
  </si>
  <si>
    <t>Hires</t>
  </si>
  <si>
    <t>Active Jobs</t>
  </si>
  <si>
    <t>Avg Hourly Paid ($)</t>
  </si>
  <si>
    <t>Total Hours</t>
  </si>
  <si>
    <t>Member Since</t>
  </si>
  <si>
    <t>AI Match %</t>
  </si>
  <si>
    <t>Bucket (Fit Result)</t>
  </si>
  <si>
    <t>Reasons / Notes</t>
  </si>
  <si>
    <t>Category</t>
  </si>
  <si>
    <t>Industry</t>
  </si>
  <si>
    <t>MERN Stack Developer for Azure-Hosted Application (Ongoing Support &amp; Bug Fixing)</t>
  </si>
  <si>
    <t>We have an existing MERN Stack web application deployed on Microsoft Azure as a Web Service. The application is stable but requires an experienced developer to handle ongoing bug fixes, enhancements, and technical support. We’re looking for a dependable, mid-level full-stack developer who understands both frontend (React) and backend (Node/Express) components, as well as how to manage and deploy updates in an Azure environment. Deliverables include fixing bugs, enhancing features, monitoring performance, and managing Azure deployments via GitHub Actions / Azure DevOps.</t>
  </si>
  <si>
    <t>Payment method verified; Rating is 4.8 out of 5 (71 reviews); United States (Redmond); 172 jobs posted; 55% hire rate, 2 open jobs; $381K total spent; 111 hires / 12 active; $24.68/hr avg hourly rate paid; 13,159 hours; Member since Nov 5 2018</t>
  </si>
  <si>
    <t>MongoDB, ExpressJS, React, Node.js, Azure DevOps, REST API, Git, GitHub, Material UI, Bootstrap, Tailwind CSS, JavaScript, MERN Stack, CI/CD, JWT, OAuth, Azure App Service, Docker</t>
  </si>
  <si>
    <t>United States</t>
  </si>
  <si>
    <t>Yes</t>
  </si>
  <si>
    <t>Nov 5 2018</t>
  </si>
  <si>
    <t>MERN / Full Stack</t>
  </si>
  <si>
    <t>SaaS / Web Apps</t>
  </si>
  <si>
    <t>Full-Stack Developer for Corporate Secretariat Platform</t>
  </si>
  <si>
    <t>We have developed an internal corporate secretarial management system prototype to automate compliance and document workflows. However, the current system has limitations in flexibility, form updates, and user experience. We are now seeking an experienced IT vendor or full-stack development team to enhance and scale the system into a market-ready, intelligent workflow platform — with the potential to evolve into a SaaS solution. Project Overview: Redevelop and enhance the platform to automate corporate secretarial workflows, build an intuitive client portal, integrate KYC/AML (SHUFTI), basic accounting and invoicing, and prepare the system for SaaS deployment. Deliverables include a full admin and client portal, dynamic form/PDF generation, AML/KYC integration, onboarding and payment modules, accounting features, and SaaS-ready architecture. Technologies: Next.js (frontend), Node.js (backend), MongoDB/MySQL/PostgreSQL.</t>
  </si>
  <si>
    <t>Payment method verified; Rating is 4.8 out of 5 (50 reviews); Singapore; 136 jobs posted; 51% hire rate, 3 open jobs; $30K total spent; 71 hires / 7 active; $6.00/hr avg hourly rate paid; 1,629 hours; Member since Nov 5 2015</t>
  </si>
  <si>
    <t>JavaScript, Web Development, CSS</t>
  </si>
  <si>
    <t>Singapore</t>
  </si>
  <si>
    <t>Nov 5 2015</t>
  </si>
  <si>
    <t>Full Stack / Web Dev</t>
  </si>
  <si>
    <t>Corporate / SaaS / Compliance Tech</t>
  </si>
  <si>
    <t>Frontend Engineer for React Web Application</t>
  </si>
  <si>
    <t>We are seeking an experienced frontend engineer to build a customer-facing, responsive, and production-ready web application using React and TypeScript. The role involves translating product requirements and UI mockups into a seamless user experience, with a focus on performance, scalability, and clean architecture. Deliverables include implementing responsive pages and reusable components, integrating REST APIs, managing state, handling authentication and payments, collaborating via Git, and optimizing for performance, maintainability, and SEO.</t>
  </si>
  <si>
    <t>About the client; Payment method verified; Rating is 4.9 out of 5 (18 reviews); United States (Stone Ridge); 25 jobs posted; 100% hire rate, 1 open job; $34K total spent; 28 hires / 5 active; $36.97/hr avg hourly rate paid; 414 hours; Member since Mar 5 2019</t>
  </si>
  <si>
    <t>React, TypeScript, Responsive Design, REST API, SEO, Amazon Cognito, Amazon S3, Git, AWS</t>
  </si>
  <si>
    <t>Mar 5 2019</t>
  </si>
  <si>
    <t>Frontend / React / Web</t>
  </si>
  <si>
    <t>App Development / SaaS</t>
  </si>
  <si>
    <t>Full-Stack Developer (React + Strapi) for Modern Tourism Platform Migration</t>
  </si>
  <si>
    <t>We’re developing a new, scalable web platform to replace an existing PHP/MySQL system using React + Vite + Tailwind CSS for the frontend and Strapi (Node.js/PostgreSQL) for the backend, hosted on Netlify + Render. The developer will review, optimize, and write new React + Strapi code, provide technical guidance, assist with deployment and testing, support secure data migration from the old PHP/MySQL site, and ensure SEO authority continuity during migration. Required: React, Node.js, Strapi, API integration, PostgreSQL. Nice-to-have: SEO-safe migrations, content import/export, performance tuning.</t>
  </si>
  <si>
    <t>About the client; Payment method not verified; Phone number verified; Italy; 0% hire rate, 1 open job; Member since Oct 15 2025</t>
  </si>
  <si>
    <t>Front-End Development, HTML, CSS, JavaScript, React, GitHub, Figma, TeamViewer, Node.js, Next.js, MongoDB, Mongoose, ExpressJS, Full-Stack Development</t>
  </si>
  <si>
    <t>Italy</t>
  </si>
  <si>
    <t>No</t>
  </si>
  <si>
    <t>Oct 15 2025</t>
  </si>
  <si>
    <t>Full Stack / React + Strapi</t>
  </si>
  <si>
    <t>Tourism / Platform Migration</t>
  </si>
  <si>
    <t>Backend Developer</t>
  </si>
  <si>
    <t>Ginger is a startup company aiming to deliver fast internet connectivity via a highly available Wi-Fi infrastructure. The role seeks a skilled Backend Developer (frontend already built in React) experienced in Node.js and SQL. Responsibilities include integrating the existing React captive portal, developing secure/scalable backend services (auth, payments), integrating payment gateways (Orange Money, MTN Momo), optimizing SQL schema, implementing robust APIs, setting up OpenWRT features (VPN, firewall, RADIUS), and maintaining CI/CD pipelines. Required Skills: Node.js/Express.js, PostgreSQL, MongoDB (Supabase), web security (JWT, OAuth2, HTTPS), containerization, RADIUS/VPN.</t>
  </si>
  <si>
    <t>Nice-to-have Skills: RabbitMQ, Kafka, Zabbix, Trello.</t>
  </si>
  <si>
    <t>(auto: Check rating / country / payment)</t>
  </si>
  <si>
    <t>Backend / Node.js / Wi-Fi Infrastructure</t>
  </si>
  <si>
    <t>Telecom / Networking / IoT</t>
  </si>
  <si>
    <t>JavaScript Frontend Developer for Custom Zendesk App Integration</t>
  </si>
  <si>
    <t>Helpando.it (an official Zendesk partner with 650+ projects) seeks a skilled JavaScript developer to build a custom Zendesk app integrating Zendesk Support with a client’s data warehouse via REST API. Responsibilities include developing the app (ZAF or web-based), integrating APIs, displaying data inside Zendesk tickets, handling authentication/configuration, and packaging for internal use. Required: JavaScript, HTML, CSS, REST API integrations, frontend frameworks (React/Vue), UX/UI understanding, Git/GitHub. Ideally: Zendesk Apps Framework (ZAF), prior Zendesk experience, or browser extension development. Deliverables: working Zendesk app package, secure API connection, configurable settings, documentation, and handover.</t>
  </si>
  <si>
    <t>About the client; Payment method verified; Rating is 5.0 out of 5 (18 reviews); Germany (Berlin); 27 jobs posted; 100% hire rate, 1 open job; $13K total spent; 30 hires / 7 active; $9.62/hr avg hourly rate paid; 1,317 hours; Member since May 29 2011</t>
  </si>
  <si>
    <t>JavaScript, CSS, HTML, HTML5, API</t>
  </si>
  <si>
    <t>Germany</t>
  </si>
  <si>
    <t>May 29 2011</t>
  </si>
  <si>
    <t>Frontend / JavaScript / API Integration</t>
  </si>
  <si>
    <t>Customer Support / SaaS / Zendesk Integration</t>
  </si>
  <si>
    <t>Senior Full-Stack (Next.js/NestJS) Fix Lead — Stabilize Production App</t>
  </si>
  <si>
    <t>We’ve launched a Next.js/NestJS education platform and need a senior hands-on engineer to stabilize production quickly. Responsibilities include frontend audit &amp; optimization (Practice Exams UI), admin menus &amp; server APIs (sorting/filtering/delete), UX cleanup (error/empty/loading/responsive states), and Stripe billing updates. Engagement: 30–45 hrs/week for 2–4 weeks (extendable). Goal: measurable performance and stability improvements without rewriting the stack. Deliverables include stabilized UI, complete admin tables, validated API contracts, Stripe renewal-day job, Sentry observability, and full handoff documentation.</t>
  </si>
  <si>
    <t>JavaScript, CSS, HTML, HTML5, API, Next.js, NestJS, TypeScript, Stripe, Sentry, Swagger, Playwright</t>
  </si>
  <si>
    <t>Full Stack / Next.js / NestJS</t>
  </si>
  <si>
    <t>Education / SaaS Platform Stabilization</t>
  </si>
  <si>
    <t>Build AI Lead Generation Software</t>
  </si>
  <si>
    <t>This project seeks an experienced full-stack developer to build an AI-driven lead-generation platform for a personal real-estate investing business. The system should handle ringless-voicemail (RVM) blasts, AI inbound call handling via Twilio + Retell AI/Synthflow, skip-tracing integrations, and automated post-call follow-ups. Key features include CSV/Excel uploads, lead enrichment, voice-bot-managed calls with transcription + NLP, automated summaries via SendGrid/Mailgun, and dashboard analytics. Stack: React/Next.js frontend, Node.js/Express or Python/Django backend, PostgreSQL (Supabase), integrations with Slybroadcast, Twilio, Zapier, Retell AI/Synthflow, and secure auth (Firebase/Auth0). Goal: deliver a polished MVP in 3–6 months with compliance to TCPA/GDPR/CCPA and proper documentation.</t>
  </si>
  <si>
    <t>About the client; Payment method verified; Rating 5.0 out of 5 (18 reviews); Germany (Berlin); 27 jobs posted; 100 % hire rate, 1 open job; $13 K total spent; 30 hires / 7 active; $9.62 / hr avg hourly rate paid; 1 317 hours; Member since May 29 2011</t>
  </si>
  <si>
    <t>JavaScript, React.js, Next.js, Node.js, Express, PostgreSQL, Supabase, Twilio, Retell AI, Synthflow, Zapier, SendGrid, AWS, Vercel, Python, Django</t>
  </si>
  <si>
    <t>Full Stack / AI Automation / Lead Generation</t>
  </si>
  <si>
    <t>Real Estate Tech / AI Voice Automation</t>
  </si>
  <si>
    <t>Full-Stack Developer for DOT Compliance and Fleet Management SaaS Platform</t>
  </si>
  <si>
    <t>This project involves completing and optimizing an advanced fleet-management and DOT-compliance SaaS platform for trucking companies. The frontend uses React + TypeScript with Tailwind CSS and shadcn/ui; the backend is built on Supabase (PostgreSQL, Auth, Edge Functions). Responsibilities include real-time data integration, Supabase RLS policies for multi-tenant architecture, file uploads, Stripe integration, PDF generation, and role-based access control. The developer will also implement React Hook Form + Zod validation, optimize performance, and build notifications and reporting features. Nice to have: fleet management domain knowledge, AI document processing, Stripe experience. Long-term project (20-30 hrs/week) with a modern stack and growth potential.</t>
  </si>
  <si>
    <t>About the client; Payment method verified; Phone number verified; Rating 5.0 of 5 (1 review); USA (Baltimore); 3 jobs posted; 34 % hire rate, 1 open job; $431 total spent; 1 hire / 0 active; $7.00 /hr avg hourly rate paid; 49 hours; Member since Jul 14 2025</t>
  </si>
  <si>
    <t>Web Application, AI Agent Development, AI Model Integration, AI Bot, Web Development, API Integration, Database Architecture</t>
  </si>
  <si>
    <t>USA</t>
  </si>
  <si>
    <t>Jul 14 2025</t>
  </si>
  <si>
    <t>Full Stack / Supabase / Fleet Management</t>
  </si>
  <si>
    <t>Logistics / Transportation Tech / SaaS</t>
  </si>
  <si>
    <t>Backend Engineer – LLM Infrastructure &amp; Chat Interfaces</t>
  </si>
  <si>
    <t>This project involves developing and scaling backend infrastructure for an AI-native, multi-tenant chat platform powered by LLMs (OpenAI, Grok, Google Gemini). Responsibilities include designing secure, scalable backend services for chat experiences, integrating multiple LLM providers, implementing RAG pipelines with vector databases, building tenant-aware APIs with authentication and rate limiting, and deploying infrastructure with Docker + AWS (EC2, ECS, Lambda, S3, Secrets Manager, Route53). Requires 3+ years of Python backend experience, knowledge of multi-tenant SaaS architecture, and familiarity with OpenAI APIs and LLM orchestration tools. Bonus: experience with Vertex AI, Grok, Pinecone, pgvector, Terraform.</t>
  </si>
  <si>
    <t>About the client; Payment method verified; Rating is 4.9 out of 5 (17 reviews); United States (Los Altos); 31 jobs posted; 91% hire rate, 2 open jobs; $104K total spent; 35 hires / 12 active; $17.61/hr avg hourly rate paid; 5,643 hours; Member since Mar 20 2019</t>
  </si>
  <si>
    <t>Python, AWS Lambda, AWS S3, GitHub, Serverless Stack, Docker, Vertex AI, Pinecone, PGVector, Terraform, OpenAI API, SaaS, RAG</t>
  </si>
  <si>
    <t>Mar 20 2019</t>
  </si>
  <si>
    <t>Backend / LLM / Infrastructure</t>
  </si>
  <si>
    <t>AI / Cloud SaaS / LLM Chat Platform</t>
  </si>
  <si>
    <t>Backend Full Stack Developer</t>
  </si>
  <si>
    <t>This role seeks an experienced Backend Full Stack Developer to design scalable systems, APIs, and data workflows using Node.js and Python. Responsibilities include leading backend development, architecting microservices, optimizing performance/security, managing CI/CD pipelines, containerization, and cloud deployments (AWS/GCP/Azure). The candidate must have deep expertise in JWT authentication in Node.js, strong database skills, and API security best practices. This is a full-time, US-timezone freelance position (no agencies). Deliverables include high-performance APIs, microservices, database optimization, and code reviews.</t>
  </si>
  <si>
    <t>About the client; Payment method verified; Phone number verified; Rating is 5.0 of 5 (1 review); USA (Houston); 10 jobs posted; 20 % hire rate, 6 open jobs; $609 total spent; 2 hires / 0 active; $50.00 /hr avg hourly rate paid; 12 hours; Member since Aug 22 2025</t>
  </si>
  <si>
    <t>Node.js, Python, Django, MongoDB, Docker, AWS, GCP, Azure, JWT Authentication, CI/CD, Microservices</t>
  </si>
  <si>
    <t>Aug 22 2025</t>
  </si>
  <si>
    <t>Backend / Node.js / Python / Full Stack</t>
  </si>
  <si>
    <t>Cloud Infrastructure / SaaS / API Development</t>
  </si>
  <si>
    <t>React Native Developer for Mobile Banking App</t>
  </si>
  <si>
    <t>We are building a mobile banking application for iOS and Android that requires secure authentication, real-time transaction updates, and smooth UI/UX. The role involves integrating APIs, implementing push notifications, and optimizing performance for both platforms. Deliverables: build reusable RN screens, integrate secure account/transactions/payment APIs, implement push notifications &amp; realtime updates, optimize performance/memory, collaborate with backend/QA, maintain docs.</t>
  </si>
  <si>
    <t>Payment method verified; Rating is 4.7 out of 5; United States (New York); 98 jobs posted; 60% hire rate, 3 open jobs; $120K total spent; 45 hires / 5 active; $45.00/hr avg hourly rate paid; 3,200 hours; Member since Jan 10 2017</t>
  </si>
  <si>
    <t>React Native, JavaScript, TypeScript, Redux, RESTful API, Firebase, Push Notifications, Authentication, Material UI, Expo, GraphQL, Stripe API, OAuth2</t>
  </si>
  <si>
    <t>Jan 10 2017</t>
  </si>
  <si>
    <t>Mobile / React Native / Fintech</t>
  </si>
  <si>
    <t>Banking / Payments / Fintech</t>
  </si>
  <si>
    <t>Backend Engineer for E-commerce Analytics Platform</t>
  </si>
  <si>
    <t>We’re building a scalable analytics platform for e-commerce stores to track sales, customer behavior, and inventory. The backend will handle high-volume API requests, automated ETL/data pipelines, and reporting dashboards. Deliverables include designing RESTful APIs, integrating Shopify/WooCommerce, building ETL with caching/rate limiting/performance tuning, and ensuring database security, backups, and scalability.</t>
  </si>
  <si>
    <t>Payment method verified; Rating is 4.9 out of 5; United Kingdom (London); 55 jobs posted; 70% hire rate, 2 open jobs; $80K total spent; 25 hires / 4 active; $50.00/hr avg hourly rate paid; 1,800 hours; Member since Mar 3 2016</t>
  </si>
  <si>
    <t>Python, Django, Flask, PostgreSQL, REST API, Celery, Redis, Docker, AWS (EC2/S3/RDS), Git/GitHub, Kubernetes, RabbitMQ, GraphQL, Pandas, NumPy</t>
  </si>
  <si>
    <t>United Kingdom</t>
  </si>
  <si>
    <t>Mar 3 2016</t>
  </si>
  <si>
    <t>Backend / Data Engineering / Analytics</t>
  </si>
  <si>
    <t>E-commerce Analytics / Data Platform</t>
  </si>
  <si>
    <t>Preferred Countries</t>
  </si>
  <si>
    <t>Austria</t>
  </si>
  <si>
    <t>Belgium</t>
  </si>
  <si>
    <t>Croatia</t>
  </si>
  <si>
    <t>Cyprus</t>
  </si>
  <si>
    <t>Czech Republic</t>
  </si>
  <si>
    <t>Denmark</t>
  </si>
  <si>
    <t>Estonia</t>
  </si>
  <si>
    <t>Finland</t>
  </si>
  <si>
    <t>France</t>
  </si>
  <si>
    <t>Greece</t>
  </si>
  <si>
    <t>Hungary</t>
  </si>
  <si>
    <t>Ireland</t>
  </si>
  <si>
    <t>Luxembourg</t>
  </si>
  <si>
    <t>Malta</t>
  </si>
  <si>
    <t>Netherlands</t>
  </si>
  <si>
    <t>Poland</t>
  </si>
  <si>
    <t>Portugal</t>
  </si>
  <si>
    <t>Romania</t>
  </si>
  <si>
    <t>Slovakia</t>
  </si>
  <si>
    <t>Slovenia</t>
  </si>
  <si>
    <t>Spain</t>
  </si>
  <si>
    <t>Sweden</t>
  </si>
  <si>
    <t>United Arab Emirates</t>
  </si>
  <si>
    <t>Switzerland</t>
  </si>
  <si>
    <t>Norway</t>
  </si>
  <si>
    <t>New Zealand</t>
  </si>
  <si>
    <t>Australia</t>
  </si>
  <si>
    <t>Canada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</si>
</sst>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6"/>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rgb="FFFF0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24">
    <xf numFmtId="0" fontId="0" fillId="0" borderId="0" xfId="0"/>
    <xf numFmtId="0" fontId="0" fillId="0" borderId="0" xfId="0" applyAlignment="1">
      <alignment vertical="center" wrapText="1"/>
    </xf>
    <xf numFmtId="0" fontId="1" fillId="0" borderId="0" xfId="0" applyFont="1"/>
    <xf numFmtId="0" fontId="0" fillId="0" borderId="1" xfId="0" applyBorder="1" applyAlignment="1">
      <alignment vertical="center" wrapText="1"/>
    </xf>
    <xf numFmtId="9" fontId="0" fillId="0" borderId="1" xfId="0" applyNumberFormat="1" applyBorder="1" applyAlignment="1">
      <alignment vertical="center" wrapText="1"/>
    </xf>
    <xf numFmtId="0" fontId="0" fillId="3" borderId="1" xfId="0" applyFill="1"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9" fontId="0" fillId="0" borderId="6" xfId="0" applyNumberFormat="1" applyBorder="1" applyAlignment="1">
      <alignment vertical="center" wrapText="1"/>
    </xf>
    <xf numFmtId="0" fontId="0" fillId="3" borderId="6" xfId="0" applyFill="1"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9" fontId="0" fillId="0" borderId="9" xfId="0" applyNumberFormat="1" applyBorder="1" applyAlignment="1">
      <alignment vertical="center" wrapText="1"/>
    </xf>
    <xf numFmtId="0" fontId="0" fillId="3" borderId="9" xfId="0" applyFill="1" applyBorder="1" applyAlignment="1">
      <alignment vertical="center" wrapText="1"/>
    </xf>
    <xf numFmtId="0" fontId="0" fillId="0" borderId="10" xfId="0" applyBorder="1" applyAlignment="1">
      <alignment vertical="center" wrapText="1"/>
    </xf>
    <xf numFmtId="0" fontId="1" fillId="2" borderId="11" xfId="0" applyFont="1" applyFill="1" applyBorder="1"/>
    <xf numFmtId="0" fontId="1" fillId="2" borderId="2" xfId="0" applyFont="1" applyFill="1" applyBorder="1"/>
    <xf numFmtId="0" fontId="1" fillId="2" borderId="12" xfId="0" applyFont="1" applyFill="1" applyBorder="1"/>
    <xf numFmtId="0" fontId="0" fillId="4" borderId="1" xfId="0" applyFill="1" applyBorder="1" applyAlignment="1">
      <alignment vertical="center" wrapText="1"/>
    </xf>
    <xf numFmtId="0" fontId="0" fillId="4" borderId="1" xfId="0" applyFill="1" applyBorder="1" applyAlignment="1">
      <alignment vertical="center"/>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
  <sheetViews>
    <sheetView tabSelected="1" workbookViewId="0">
      <selection activeCell="Q3" sqref="Q3"/>
    </sheetView>
  </sheetViews>
  <sheetFormatPr defaultRowHeight="15" x14ac:dyDescent="0.25"/>
  <cols>
    <col min="1" max="1" width="27.85546875" customWidth="1"/>
    <col min="2" max="2" width="59" customWidth="1"/>
    <col min="3" max="3" width="28.140625" customWidth="1"/>
    <col min="4" max="4" width="33.5703125" customWidth="1"/>
    <col min="5" max="5" width="19.5703125" bestFit="1" customWidth="1"/>
    <col min="6" max="6" width="22.85546875" bestFit="1" customWidth="1"/>
    <col min="7" max="7" width="17.5703125" bestFit="1" customWidth="1"/>
    <col min="8" max="8" width="16.28515625" bestFit="1" customWidth="1"/>
    <col min="9" max="9" width="17.7109375" bestFit="1" customWidth="1"/>
    <col min="10" max="10" width="19.42578125" bestFit="1" customWidth="1"/>
    <col min="12" max="12" width="15.28515625" bestFit="1" customWidth="1"/>
    <col min="13" max="13" width="24.7109375" bestFit="1" customWidth="1"/>
    <col min="14" max="14" width="15.7109375" bestFit="1" customWidth="1"/>
    <col min="15" max="15" width="19.28515625" bestFit="1" customWidth="1"/>
    <col min="16" max="16" width="15" bestFit="1" customWidth="1"/>
    <col min="17" max="17" width="24.5703125" bestFit="1" customWidth="1"/>
    <col min="18" max="18" width="22.140625" bestFit="1" customWidth="1"/>
    <col min="19" max="19" width="12.42578125" bestFit="1" customWidth="1"/>
    <col min="20" max="20" width="11.5703125" bestFit="1" customWidth="1"/>
  </cols>
  <sheetData>
    <row r="1" spans="1:21" s="2" customFormat="1" ht="21.75" thickBot="1" x14ac:dyDescent="0.4">
      <c r="A1" s="18" t="s">
        <v>0</v>
      </c>
      <c r="B1" s="19" t="s">
        <v>1</v>
      </c>
      <c r="C1" s="20" t="s">
        <v>2</v>
      </c>
      <c r="D1" s="19" t="s">
        <v>3</v>
      </c>
      <c r="E1" s="20" t="s">
        <v>4</v>
      </c>
      <c r="F1" s="19" t="s">
        <v>5</v>
      </c>
      <c r="G1" s="20" t="s">
        <v>6</v>
      </c>
      <c r="H1" s="19" t="s">
        <v>7</v>
      </c>
      <c r="I1" s="20" t="s">
        <v>8</v>
      </c>
      <c r="J1" s="19" t="s">
        <v>9</v>
      </c>
      <c r="K1" s="20" t="s">
        <v>10</v>
      </c>
      <c r="L1" s="19" t="s">
        <v>11</v>
      </c>
      <c r="M1" s="20" t="s">
        <v>12</v>
      </c>
      <c r="N1" s="19" t="s">
        <v>13</v>
      </c>
      <c r="O1" s="20" t="s">
        <v>14</v>
      </c>
      <c r="P1" s="19" t="s">
        <v>15</v>
      </c>
      <c r="Q1" s="20" t="s">
        <v>16</v>
      </c>
      <c r="R1" s="19" t="s">
        <v>17</v>
      </c>
      <c r="S1" s="20" t="s">
        <v>18</v>
      </c>
      <c r="T1" s="19" t="s">
        <v>19</v>
      </c>
    </row>
    <row r="2" spans="1:21" s="1" customFormat="1" ht="150" x14ac:dyDescent="0.25">
      <c r="A2" s="13" t="s">
        <v>20</v>
      </c>
      <c r="B2" s="14" t="s">
        <v>21</v>
      </c>
      <c r="C2" s="14" t="s">
        <v>22</v>
      </c>
      <c r="D2" s="14" t="s">
        <v>23</v>
      </c>
      <c r="E2" s="14" t="s">
        <v>24</v>
      </c>
      <c r="F2" s="14" t="s">
        <v>25</v>
      </c>
      <c r="G2" s="14">
        <v>4.8</v>
      </c>
      <c r="H2" s="14">
        <v>172</v>
      </c>
      <c r="I2" s="15">
        <v>0.55000000000000004</v>
      </c>
      <c r="J2" s="14">
        <v>381000</v>
      </c>
      <c r="K2" s="14">
        <v>111</v>
      </c>
      <c r="L2" s="14">
        <v>12</v>
      </c>
      <c r="M2" s="14">
        <v>24.68</v>
      </c>
      <c r="N2" s="14">
        <v>13159</v>
      </c>
      <c r="O2" s="14" t="s">
        <v>26</v>
      </c>
      <c r="P2" s="14"/>
      <c r="Q2" s="16" t="str">
        <f>IF(OR(F2&lt;&gt;"Yes",COUNTIF(PreferredCountries,E2)=0,VALUE(G2)&lt;4),"NOT_FIT",IF(AND(COUNTIF(PreferredCountries,E2)&gt;0,F2="Yes",VALUE(G2)&gt;=4.7,OR(I2="",IFERROR(--SUBSTITUTE(I2,"%","")/100,I2)&gt;=0.6),OR(J2&gt;=10000,H2&gt;=50),OR(P2="",P2&gt;=0.75)),"BEST_FIT","70_PERCENT"))</f>
        <v>70_PERCENT</v>
      </c>
      <c r="R2" s="14" t="str">
        <f>_xlfn.SINGLE(_xlfn.TEXTJOIN(", ",TRUE,IF(F2&lt;&gt;"Yes","Payment not verified",""),IF(COUNTIF(PreferredCountries,E2)=0,"Country not preferred",""),IF(VALUE(G2)&lt;4,"Rating &lt; 4",""),IF(Q2="70_PERCENT","Medium quality or missing history",""),IF(AND(Q2="BEST_FIT",J2&lt;10000),"Best-fit despite lower spend",""),IF(AND(Q2="BEST_FIT",I2&lt;&gt;"",IFERROR(--SUBSTITUTE(I2,"%","")/100,I2)&lt;0.6),"Best-fit despite lower hire rate","")))</f>
        <v>Medium quality or missing history</v>
      </c>
      <c r="S2" s="14" t="s">
        <v>27</v>
      </c>
      <c r="T2" s="17" t="s">
        <v>28</v>
      </c>
    </row>
    <row r="3" spans="1:21" s="1" customFormat="1" ht="240" x14ac:dyDescent="0.25">
      <c r="A3" s="6" t="s">
        <v>29</v>
      </c>
      <c r="B3" s="3" t="s">
        <v>30</v>
      </c>
      <c r="C3" s="3" t="s">
        <v>31</v>
      </c>
      <c r="D3" s="3" t="s">
        <v>32</v>
      </c>
      <c r="E3" s="3" t="s">
        <v>33</v>
      </c>
      <c r="F3" s="3" t="s">
        <v>25</v>
      </c>
      <c r="G3" s="3">
        <v>4.8</v>
      </c>
      <c r="H3" s="3">
        <v>136</v>
      </c>
      <c r="I3" s="4">
        <v>0.51</v>
      </c>
      <c r="J3" s="3">
        <v>30000</v>
      </c>
      <c r="K3" s="3">
        <v>71</v>
      </c>
      <c r="L3" s="3">
        <v>7</v>
      </c>
      <c r="M3" s="3">
        <v>6</v>
      </c>
      <c r="N3" s="3">
        <v>1629</v>
      </c>
      <c r="O3" s="3" t="s">
        <v>34</v>
      </c>
      <c r="P3" s="3"/>
      <c r="Q3" s="5" t="str">
        <f>IF(OR(F3&lt;&gt;"Yes",COUNTIF(PreferredCountries,E3)=0,VALUE(G3)&lt;4),"NOT_FIT",IF(AND(COUNTIF(PreferredCountries,E3)&gt;0,F3="Yes",VALUE(G3)&gt;=4.7,OR(I3="",IFERROR(--SUBSTITUTE(I3,"%","")/100,I3)&gt;=0.6),OR(J3&gt;=10000,H3&gt;=50),OR(P3="",P3&gt;=0.75)),"BEST_FIT","70_PERCENT"))</f>
        <v>70_PERCENT</v>
      </c>
      <c r="R3" s="3" t="str">
        <f>_xlfn.SINGLE(_xlfn.TEXTJOIN(", ",TRUE,IF(F3&lt;&gt;"Yes","Payment not verified",""),IF(COUNTIF(PreferredCountries,E3)=0,"Country not preferred",""),IF(VALUE(G3)&lt;4,"Rating &lt; 4",""),IF(Q3="70_PERCENT","Medium quality or missing history",""),IF(AND(Q3="BEST_FIT",J3&lt;10000),"Best-fit despite lower spend",""),IF(AND(Q3="BEST_FIT",I3&lt;&gt;"",IFERROR(--SUBSTITUTE(I3,"%","")/100,I3)&lt;0.6),"Best-fit despite lower hire rate","")))</f>
        <v>Medium quality or missing history</v>
      </c>
      <c r="S3" s="3" t="s">
        <v>35</v>
      </c>
      <c r="T3" s="7" t="s">
        <v>36</v>
      </c>
    </row>
    <row r="4" spans="1:21" s="1" customFormat="1" ht="150" x14ac:dyDescent="0.25">
      <c r="A4" s="6" t="s">
        <v>37</v>
      </c>
      <c r="B4" s="3" t="s">
        <v>38</v>
      </c>
      <c r="C4" s="3" t="s">
        <v>39</v>
      </c>
      <c r="D4" s="3" t="s">
        <v>40</v>
      </c>
      <c r="E4" s="3" t="s">
        <v>24</v>
      </c>
      <c r="F4" s="3" t="s">
        <v>25</v>
      </c>
      <c r="G4" s="3">
        <v>4.9000000000000004</v>
      </c>
      <c r="H4" s="3">
        <v>25</v>
      </c>
      <c r="I4" s="4">
        <v>1</v>
      </c>
      <c r="J4" s="3">
        <v>34000</v>
      </c>
      <c r="K4" s="3">
        <v>28</v>
      </c>
      <c r="L4" s="3">
        <v>5</v>
      </c>
      <c r="M4" s="3">
        <v>36.97</v>
      </c>
      <c r="N4" s="3">
        <v>414</v>
      </c>
      <c r="O4" s="3" t="s">
        <v>41</v>
      </c>
      <c r="P4" s="3"/>
      <c r="Q4" s="5" t="str">
        <f t="shared" ref="Q4:Q14" si="0">IF(OR(F4&lt;&gt;"Yes",COUNTIF(PreferredCountries,E4)=0,VALUE(G4)&lt;4),"NOT_FIT",IF(AND(COUNTIF(PreferredCountries,E4)&gt;0,F4="Yes",VALUE(G4)&gt;=4.7,OR(I4="",IFERROR(--SUBSTITUTE(I4,"%","")/100,I4)&gt;=0.6),OR(J4&gt;=10000,H4&gt;=50),OR(P4="",P4&gt;=0.75)),"BEST_FIT","70_PERCENT"))</f>
        <v>70_PERCENT</v>
      </c>
      <c r="R4" s="3" t="str">
        <f>_xlfn.TEXTJOIN(", ",TRUE,IF(F4&lt;&gt;"Yes","Payment not verified",""),IF(COUNTIF(PreferredCountries,E4)=0,"Country not preferred",""),IF(VALUE(G4)&lt;4,"Rating &lt; 4",""),IF(Q4="70_PERCENT","Medium quality or missing history",""),IF(AND(Q4="BEST_FIT",J4&lt;10000),"Best-fit despite lower spend",""),IF(AND(Q4="BEST_FIT",I4&lt;&gt;"",IFERROR(--SUBSTITUTE(I4,"%","")/100,I4)&lt;0.6),"Best-fit despite lower hire rate",""))</f>
        <v>Medium quality or missing history</v>
      </c>
      <c r="S4" s="3" t="s">
        <v>42</v>
      </c>
      <c r="T4" s="7" t="s">
        <v>43</v>
      </c>
    </row>
    <row r="5" spans="1:21" s="1" customFormat="1" ht="150" x14ac:dyDescent="0.25">
      <c r="A5" s="6" t="s">
        <v>44</v>
      </c>
      <c r="B5" s="3" t="s">
        <v>45</v>
      </c>
      <c r="C5" s="3" t="s">
        <v>46</v>
      </c>
      <c r="D5" s="3" t="s">
        <v>47</v>
      </c>
      <c r="E5" s="3" t="s">
        <v>48</v>
      </c>
      <c r="F5" s="3" t="s">
        <v>49</v>
      </c>
      <c r="G5" s="3"/>
      <c r="H5" s="3">
        <v>1</v>
      </c>
      <c r="I5" s="4">
        <v>0</v>
      </c>
      <c r="J5" s="3"/>
      <c r="K5" s="3">
        <v>0</v>
      </c>
      <c r="L5" s="3">
        <v>1</v>
      </c>
      <c r="M5" s="3"/>
      <c r="N5" s="3"/>
      <c r="O5" s="3" t="s">
        <v>50</v>
      </c>
      <c r="P5" s="3"/>
      <c r="Q5" s="21" t="str">
        <f>IF(OR(F5&lt;&gt;"Yes",COUNTIF(PreferredCountries,E5)=0,VALUE(G5)&lt;4),"NOT_FIT",IF(AND(COUNTIF(PreferredCountries,E5)&gt;0,F5="Yes",VALUE(G5)&gt;=4.7,OR(I5="",IFERROR(--SUBSTITUTE(I5,"%","")/100,I5)&gt;=0.6),OR(J5&gt;=10000,H5&gt;=50),OR(P5="",P5&gt;=0.75)),"BEST_FIT","70_PERCENT"))</f>
        <v>NOT_FIT</v>
      </c>
      <c r="R5" s="3" t="str">
        <f>_xlfn.TEXTJOIN(", ",TRUE,IF(F5&lt;&gt;"Yes","Payment not verified",""),IF(COUNTIF(PreferredCountries,E5)=0,"Country not preferred",""),IF(VALUE(G5)&lt;4,"Rating &lt; 4",""),IF(Q5="70_PERCENT","Medium quality or missing history",""),IF(AND(Q5="BEST_FIT",J5&lt;10000),"Best-fit despite lower spend",""),IF(AND(Q5="BEST_FIT",I5&lt;&gt;"",IFERROR(--SUBSTITUTE(I5,"%","")/100,I5)&lt;0.6),"Best-fit despite lower hire rate",""))</f>
        <v>Payment not verified, Rating &lt; 4</v>
      </c>
      <c r="S5" s="3" t="s">
        <v>51</v>
      </c>
      <c r="T5" s="7" t="s">
        <v>52</v>
      </c>
    </row>
    <row r="6" spans="1:21" s="1" customFormat="1" ht="180" x14ac:dyDescent="0.25">
      <c r="A6" s="6" t="s">
        <v>53</v>
      </c>
      <c r="B6" s="3" t="s">
        <v>54</v>
      </c>
      <c r="C6" s="3" t="s">
        <v>55</v>
      </c>
      <c r="D6" s="3" t="s">
        <v>46</v>
      </c>
      <c r="E6" s="3" t="s">
        <v>48</v>
      </c>
      <c r="F6" s="3" t="s">
        <v>49</v>
      </c>
      <c r="H6" s="3">
        <v>1</v>
      </c>
      <c r="I6" s="4">
        <v>0</v>
      </c>
      <c r="K6" s="3"/>
      <c r="L6" s="3">
        <v>0</v>
      </c>
      <c r="M6" s="3">
        <v>1</v>
      </c>
      <c r="N6" s="3"/>
      <c r="O6" s="3"/>
      <c r="P6" s="3"/>
      <c r="Q6" s="22" t="str">
        <f>IF(OR(F5&lt;&gt;"Yes",COUNTIF(PreferredCountries,E5)=0,VALUE(G5)&lt;4),"NOT_FIT",IF(AND(COUNTIF(PreferredCountries,E5)&gt;0,F5="Yes",VALUE(G5)&gt;=4.7,OR(I5="",IFERROR(--SUBSTITUTE(I5,"%","")/100,I5)&gt;=0.6),OR(J5&gt;=10000,H5&gt;=50),OR(P5="",P5&gt;=0.75)),"BEST_FIT","70_PERCENT"))</f>
        <v>NOT_FIT</v>
      </c>
      <c r="R6" s="3" t="str">
        <f>_xlfn.TEXTJOIN(", ",TRUE,IF(F5&lt;&gt;"Yes","Payment not verified",""),IF(COUNTIF(PreferredCountries,E5)=0,"Country not preferred",""),IF(VALUE(G5)&lt;4,"Rating &lt; 4",""),IF(Q5="70_PERCENT","Medium quality or missing history",""),IF(AND(Q5="BEST_FIT",J5&lt;10000),"Best-fit despite lower spend",""),IF(AND(Q5="BEST_FIT",I5&lt;&gt;"",IFERROR(--SUBSTITUTE(I5,"%","")/100,I5)&lt;0.6),"Best-fit despite lower hire rate",""))</f>
        <v>Payment not verified, Rating &lt; 4</v>
      </c>
      <c r="S6" s="3" t="s">
        <v>56</v>
      </c>
      <c r="T6" s="7" t="s">
        <v>57</v>
      </c>
      <c r="U6" s="1" t="s">
        <v>58</v>
      </c>
    </row>
    <row r="7" spans="1:21" ht="195" x14ac:dyDescent="0.25">
      <c r="A7" s="6" t="s">
        <v>59</v>
      </c>
      <c r="B7" s="3" t="s">
        <v>60</v>
      </c>
      <c r="C7" s="3" t="s">
        <v>61</v>
      </c>
      <c r="D7" s="3" t="s">
        <v>62</v>
      </c>
      <c r="E7" s="3" t="s">
        <v>63</v>
      </c>
      <c r="F7" s="3" t="s">
        <v>25</v>
      </c>
      <c r="G7" s="3">
        <v>5</v>
      </c>
      <c r="H7" s="3">
        <v>27</v>
      </c>
      <c r="I7" s="4">
        <v>1</v>
      </c>
      <c r="J7" s="3">
        <v>13000</v>
      </c>
      <c r="K7" s="3">
        <v>30</v>
      </c>
      <c r="L7" s="3">
        <v>7</v>
      </c>
      <c r="M7" s="3">
        <v>9.6199999999999992</v>
      </c>
      <c r="N7" s="3">
        <v>1317</v>
      </c>
      <c r="O7" s="3" t="s">
        <v>64</v>
      </c>
      <c r="P7" s="3"/>
      <c r="Q7" s="5" t="str">
        <f t="shared" si="0"/>
        <v>70_PERCENT</v>
      </c>
      <c r="R7" s="3" t="str">
        <f t="shared" ref="R7:R14" si="1">_xlfn.TEXTJOIN(", ",TRUE,IF(F7&lt;&gt;"Yes","Payment not verified",""),IF(COUNTIF(PreferredCountries,E7)=0,"Country not preferred",""),IF(VALUE(G7)&lt;4,"Rating &lt; 4",""),IF(Q7="70_PERCENT","Medium quality or missing history",""),IF(AND(Q7="BEST_FIT",J7&lt;10000),"Best-fit despite lower spend",""),IF(AND(Q7="BEST_FIT",I7&lt;&gt;"",IFERROR(--SUBSTITUTE(I7,"%","")/100,I7)&lt;0.6),"Best-fit despite lower hire rate",""))</f>
        <v>Medium quality or missing history</v>
      </c>
      <c r="S7" s="3" t="s">
        <v>65</v>
      </c>
      <c r="T7" s="7" t="s">
        <v>66</v>
      </c>
    </row>
    <row r="8" spans="1:21" s="1" customFormat="1" ht="165" x14ac:dyDescent="0.25">
      <c r="A8" s="6" t="s">
        <v>67</v>
      </c>
      <c r="B8" s="3" t="s">
        <v>68</v>
      </c>
      <c r="C8" s="3" t="s">
        <v>61</v>
      </c>
      <c r="D8" s="3" t="s">
        <v>69</v>
      </c>
      <c r="E8" s="3" t="s">
        <v>63</v>
      </c>
      <c r="F8" s="3" t="s">
        <v>25</v>
      </c>
      <c r="G8" s="3">
        <v>5</v>
      </c>
      <c r="H8" s="3">
        <v>27</v>
      </c>
      <c r="I8" s="4">
        <v>1</v>
      </c>
      <c r="J8" s="3">
        <v>13000</v>
      </c>
      <c r="K8" s="3">
        <v>30</v>
      </c>
      <c r="L8" s="3">
        <v>7</v>
      </c>
      <c r="M8" s="3">
        <v>9.6199999999999992</v>
      </c>
      <c r="N8" s="3">
        <v>1317</v>
      </c>
      <c r="O8" s="3" t="s">
        <v>64</v>
      </c>
      <c r="P8" s="3"/>
      <c r="Q8" s="5" t="str">
        <f t="shared" si="0"/>
        <v>70_PERCENT</v>
      </c>
      <c r="R8" s="3" t="str">
        <f t="shared" si="1"/>
        <v>Medium quality or missing history</v>
      </c>
      <c r="S8" s="3" t="s">
        <v>70</v>
      </c>
      <c r="T8" s="7" t="s">
        <v>71</v>
      </c>
    </row>
    <row r="9" spans="1:21" s="1" customFormat="1" ht="210" x14ac:dyDescent="0.25">
      <c r="A9" s="6" t="s">
        <v>72</v>
      </c>
      <c r="B9" s="3" t="s">
        <v>73</v>
      </c>
      <c r="C9" s="3" t="s">
        <v>74</v>
      </c>
      <c r="D9" s="3" t="s">
        <v>75</v>
      </c>
      <c r="E9" s="3" t="s">
        <v>63</v>
      </c>
      <c r="F9" s="3" t="s">
        <v>25</v>
      </c>
      <c r="G9" s="3">
        <v>5</v>
      </c>
      <c r="H9" s="3">
        <v>27</v>
      </c>
      <c r="I9" s="4">
        <v>1</v>
      </c>
      <c r="J9" s="3">
        <v>13000</v>
      </c>
      <c r="K9" s="3">
        <v>30</v>
      </c>
      <c r="L9" s="3">
        <v>7</v>
      </c>
      <c r="M9" s="3">
        <v>9.6199999999999992</v>
      </c>
      <c r="N9" s="3">
        <v>1317</v>
      </c>
      <c r="O9" s="3" t="s">
        <v>64</v>
      </c>
      <c r="P9" s="3"/>
      <c r="Q9" s="5" t="str">
        <f t="shared" si="0"/>
        <v>70_PERCENT</v>
      </c>
      <c r="R9" s="3" t="str">
        <f t="shared" si="1"/>
        <v>Medium quality or missing history</v>
      </c>
      <c r="S9" s="3" t="s">
        <v>76</v>
      </c>
      <c r="T9" s="7" t="s">
        <v>77</v>
      </c>
    </row>
    <row r="10" spans="1:21" s="1" customFormat="1" ht="195" x14ac:dyDescent="0.25">
      <c r="A10" s="6" t="s">
        <v>78</v>
      </c>
      <c r="B10" s="3" t="s">
        <v>79</v>
      </c>
      <c r="C10" s="3" t="s">
        <v>80</v>
      </c>
      <c r="D10" s="3" t="s">
        <v>81</v>
      </c>
      <c r="E10" s="3" t="s">
        <v>82</v>
      </c>
      <c r="F10" s="3" t="s">
        <v>25</v>
      </c>
      <c r="G10" s="3">
        <v>5</v>
      </c>
      <c r="H10" s="3">
        <v>3</v>
      </c>
      <c r="I10" s="4">
        <v>0.34</v>
      </c>
      <c r="J10" s="3">
        <v>431</v>
      </c>
      <c r="K10" s="3">
        <v>1</v>
      </c>
      <c r="L10" s="3">
        <v>0</v>
      </c>
      <c r="M10" s="3">
        <v>7</v>
      </c>
      <c r="N10" s="3">
        <v>49</v>
      </c>
      <c r="O10" s="3" t="s">
        <v>83</v>
      </c>
      <c r="P10" s="3"/>
      <c r="Q10" s="5" t="str">
        <f t="shared" si="0"/>
        <v>70_PERCENT</v>
      </c>
      <c r="R10" s="3" t="str">
        <f t="shared" si="1"/>
        <v>Medium quality or missing history</v>
      </c>
      <c r="S10" s="3" t="s">
        <v>84</v>
      </c>
      <c r="T10" s="7" t="s">
        <v>85</v>
      </c>
    </row>
    <row r="11" spans="1:21" s="1" customFormat="1" ht="195" x14ac:dyDescent="0.25">
      <c r="A11" s="6" t="s">
        <v>86</v>
      </c>
      <c r="B11" s="3" t="s">
        <v>87</v>
      </c>
      <c r="C11" s="3" t="s">
        <v>88</v>
      </c>
      <c r="D11" s="3" t="s">
        <v>89</v>
      </c>
      <c r="E11" s="3" t="s">
        <v>24</v>
      </c>
      <c r="F11" s="3" t="s">
        <v>25</v>
      </c>
      <c r="G11" s="3">
        <v>4.9000000000000004</v>
      </c>
      <c r="H11" s="3">
        <v>31</v>
      </c>
      <c r="I11" s="4">
        <v>0.91</v>
      </c>
      <c r="J11" s="3">
        <v>104000</v>
      </c>
      <c r="K11" s="3">
        <v>35</v>
      </c>
      <c r="L11" s="3">
        <v>12</v>
      </c>
      <c r="M11" s="3">
        <v>17.61</v>
      </c>
      <c r="N11" s="3">
        <v>5643</v>
      </c>
      <c r="O11" s="3" t="s">
        <v>90</v>
      </c>
      <c r="P11" s="3"/>
      <c r="Q11" s="5" t="str">
        <f t="shared" si="0"/>
        <v>70_PERCENT</v>
      </c>
      <c r="R11" s="3" t="str">
        <f t="shared" si="1"/>
        <v>Medium quality or missing history</v>
      </c>
      <c r="S11" s="3" t="s">
        <v>91</v>
      </c>
      <c r="T11" s="7" t="s">
        <v>92</v>
      </c>
    </row>
    <row r="12" spans="1:21" s="1" customFormat="1" ht="165" x14ac:dyDescent="0.25">
      <c r="A12" s="6" t="s">
        <v>93</v>
      </c>
      <c r="B12" s="3" t="s">
        <v>94</v>
      </c>
      <c r="C12" s="3" t="s">
        <v>95</v>
      </c>
      <c r="D12" s="3" t="s">
        <v>96</v>
      </c>
      <c r="E12" s="3" t="s">
        <v>82</v>
      </c>
      <c r="F12" s="3" t="s">
        <v>25</v>
      </c>
      <c r="G12" s="3">
        <v>5</v>
      </c>
      <c r="H12" s="3">
        <v>10</v>
      </c>
      <c r="I12" s="4">
        <v>0.2</v>
      </c>
      <c r="J12" s="3">
        <v>609</v>
      </c>
      <c r="K12" s="3">
        <v>2</v>
      </c>
      <c r="L12" s="3">
        <v>0</v>
      </c>
      <c r="M12" s="3">
        <v>50</v>
      </c>
      <c r="N12" s="3">
        <v>12</v>
      </c>
      <c r="O12" s="3" t="s">
        <v>97</v>
      </c>
      <c r="P12" s="3"/>
      <c r="Q12" s="5" t="str">
        <f t="shared" si="0"/>
        <v>70_PERCENT</v>
      </c>
      <c r="R12" s="3" t="str">
        <f t="shared" si="1"/>
        <v>Medium quality or missing history</v>
      </c>
      <c r="S12" s="3" t="s">
        <v>98</v>
      </c>
      <c r="T12" s="7" t="s">
        <v>99</v>
      </c>
    </row>
    <row r="13" spans="1:21" ht="150" x14ac:dyDescent="0.25">
      <c r="A13" s="6" t="s">
        <v>100</v>
      </c>
      <c r="B13" s="3" t="s">
        <v>101</v>
      </c>
      <c r="C13" s="3" t="s">
        <v>102</v>
      </c>
      <c r="D13" s="3" t="s">
        <v>103</v>
      </c>
      <c r="E13" s="3" t="s">
        <v>24</v>
      </c>
      <c r="F13" s="3" t="s">
        <v>25</v>
      </c>
      <c r="G13" s="3">
        <v>4.7</v>
      </c>
      <c r="H13" s="3">
        <v>98</v>
      </c>
      <c r="I13" s="4">
        <v>0.6</v>
      </c>
      <c r="J13" s="3">
        <v>120000</v>
      </c>
      <c r="K13" s="3">
        <v>45</v>
      </c>
      <c r="L13" s="3">
        <v>5</v>
      </c>
      <c r="M13" s="3">
        <v>45</v>
      </c>
      <c r="N13" s="3">
        <v>3200</v>
      </c>
      <c r="O13" s="3" t="s">
        <v>104</v>
      </c>
      <c r="P13" s="3"/>
      <c r="Q13" s="5" t="str">
        <f t="shared" si="0"/>
        <v>70_PERCENT</v>
      </c>
      <c r="R13" s="3" t="str">
        <f t="shared" si="1"/>
        <v>Medium quality or missing history</v>
      </c>
      <c r="S13" s="3" t="s">
        <v>105</v>
      </c>
      <c r="T13" s="7" t="s">
        <v>106</v>
      </c>
    </row>
    <row r="14" spans="1:21" s="1" customFormat="1" ht="120.75" thickBot="1" x14ac:dyDescent="0.3">
      <c r="A14" s="8" t="s">
        <v>107</v>
      </c>
      <c r="B14" s="9" t="s">
        <v>108</v>
      </c>
      <c r="C14" s="9" t="s">
        <v>109</v>
      </c>
      <c r="D14" s="9" t="s">
        <v>110</v>
      </c>
      <c r="E14" s="9" t="s">
        <v>111</v>
      </c>
      <c r="F14" s="9" t="s">
        <v>25</v>
      </c>
      <c r="G14" s="9">
        <v>4.9000000000000004</v>
      </c>
      <c r="H14" s="9">
        <v>55</v>
      </c>
      <c r="I14" s="10">
        <v>0.7</v>
      </c>
      <c r="J14" s="9">
        <v>80000</v>
      </c>
      <c r="K14" s="9">
        <v>25</v>
      </c>
      <c r="L14" s="9">
        <v>4</v>
      </c>
      <c r="M14" s="9">
        <v>50</v>
      </c>
      <c r="N14" s="9">
        <v>1800</v>
      </c>
      <c r="O14" s="9" t="s">
        <v>112</v>
      </c>
      <c r="P14" s="9"/>
      <c r="Q14" s="11" t="str">
        <f t="shared" si="0"/>
        <v>70_PERCENT</v>
      </c>
      <c r="R14" s="9" t="str">
        <f t="shared" si="1"/>
        <v>Medium quality or missing history</v>
      </c>
      <c r="S14" s="9" t="s">
        <v>113</v>
      </c>
      <c r="T14" s="12" t="s">
        <v>114</v>
      </c>
    </row>
    <row r="15" spans="1:21" x14ac:dyDescent="0.25">
      <c r="Q15" s="23"/>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5"/>
  <sheetViews>
    <sheetView workbookViewId="0">
      <selection activeCell="A35" sqref="A35"/>
    </sheetView>
  </sheetViews>
  <sheetFormatPr defaultRowHeight="15" x14ac:dyDescent="0.25"/>
  <sheetData>
    <row r="1" spans="1:1" x14ac:dyDescent="0.25">
      <c r="A1" t="s">
        <v>115</v>
      </c>
    </row>
    <row r="2" spans="1:1" x14ac:dyDescent="0.25">
      <c r="A2" t="s">
        <v>116</v>
      </c>
    </row>
    <row r="3" spans="1:1" x14ac:dyDescent="0.25">
      <c r="A3" t="s">
        <v>117</v>
      </c>
    </row>
    <row r="4" spans="1:1" x14ac:dyDescent="0.25">
      <c r="A4" t="s">
        <v>118</v>
      </c>
    </row>
    <row r="5" spans="1:1" x14ac:dyDescent="0.25">
      <c r="A5" t="s">
        <v>119</v>
      </c>
    </row>
    <row r="6" spans="1:1" x14ac:dyDescent="0.25">
      <c r="A6" t="s">
        <v>120</v>
      </c>
    </row>
    <row r="7" spans="1:1" x14ac:dyDescent="0.25">
      <c r="A7" t="s">
        <v>121</v>
      </c>
    </row>
    <row r="8" spans="1:1" x14ac:dyDescent="0.25">
      <c r="A8" t="s">
        <v>122</v>
      </c>
    </row>
    <row r="9" spans="1:1" x14ac:dyDescent="0.25">
      <c r="A9" t="s">
        <v>123</v>
      </c>
    </row>
    <row r="10" spans="1:1" x14ac:dyDescent="0.25">
      <c r="A10" t="s">
        <v>124</v>
      </c>
    </row>
    <row r="11" spans="1:1" x14ac:dyDescent="0.25">
      <c r="A11" t="s">
        <v>63</v>
      </c>
    </row>
    <row r="12" spans="1:1" x14ac:dyDescent="0.25">
      <c r="A12" t="s">
        <v>125</v>
      </c>
    </row>
    <row r="13" spans="1:1" x14ac:dyDescent="0.25">
      <c r="A13" t="s">
        <v>126</v>
      </c>
    </row>
    <row r="14" spans="1:1" x14ac:dyDescent="0.25">
      <c r="A14" t="s">
        <v>127</v>
      </c>
    </row>
    <row r="15" spans="1:1" x14ac:dyDescent="0.25">
      <c r="A15" t="s">
        <v>48</v>
      </c>
    </row>
    <row r="16" spans="1:1" x14ac:dyDescent="0.25">
      <c r="A16" t="s">
        <v>128</v>
      </c>
    </row>
    <row r="17" spans="1:1" x14ac:dyDescent="0.25">
      <c r="A17" t="s">
        <v>129</v>
      </c>
    </row>
    <row r="18" spans="1:1" x14ac:dyDescent="0.25">
      <c r="A18" t="s">
        <v>130</v>
      </c>
    </row>
    <row r="19" spans="1:1" x14ac:dyDescent="0.25">
      <c r="A19" t="s">
        <v>131</v>
      </c>
    </row>
    <row r="20" spans="1:1" x14ac:dyDescent="0.25">
      <c r="A20" t="s">
        <v>132</v>
      </c>
    </row>
    <row r="21" spans="1:1" x14ac:dyDescent="0.25">
      <c r="A21" t="s">
        <v>133</v>
      </c>
    </row>
    <row r="22" spans="1:1" x14ac:dyDescent="0.25">
      <c r="A22" t="s">
        <v>134</v>
      </c>
    </row>
    <row r="23" spans="1:1" x14ac:dyDescent="0.25">
      <c r="A23" t="s">
        <v>135</v>
      </c>
    </row>
    <row r="24" spans="1:1" x14ac:dyDescent="0.25">
      <c r="A24" t="s">
        <v>136</v>
      </c>
    </row>
    <row r="25" spans="1:1" x14ac:dyDescent="0.25">
      <c r="A25" t="s">
        <v>137</v>
      </c>
    </row>
    <row r="26" spans="1:1" x14ac:dyDescent="0.25">
      <c r="A26" t="s">
        <v>111</v>
      </c>
    </row>
    <row r="27" spans="1:1" x14ac:dyDescent="0.25">
      <c r="A27" t="s">
        <v>138</v>
      </c>
    </row>
    <row r="28" spans="1:1" x14ac:dyDescent="0.25">
      <c r="A28" t="s">
        <v>139</v>
      </c>
    </row>
    <row r="29" spans="1:1" x14ac:dyDescent="0.25">
      <c r="A29" t="s">
        <v>140</v>
      </c>
    </row>
    <row r="30" spans="1:1" x14ac:dyDescent="0.25">
      <c r="A30" t="s">
        <v>33</v>
      </c>
    </row>
    <row r="31" spans="1:1" x14ac:dyDescent="0.25">
      <c r="A31" t="s">
        <v>141</v>
      </c>
    </row>
    <row r="32" spans="1:1" x14ac:dyDescent="0.25">
      <c r="A32" t="s">
        <v>142</v>
      </c>
    </row>
    <row r="33" spans="1:1" x14ac:dyDescent="0.25">
      <c r="A33" t="s">
        <v>143</v>
      </c>
    </row>
    <row r="34" spans="1:1" x14ac:dyDescent="0.25">
      <c r="A34" t="s">
        <v>24</v>
      </c>
    </row>
    <row r="35" spans="1:1" x14ac:dyDescent="0.25">
      <c r="A35" t="s">
        <v>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Config</vt:lpstr>
      <vt:lpstr>PreferredCountries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Fahad Abbas Kazmi</dc:creator>
  <cp:lastModifiedBy>Syed Fahad Abbas Kazmi</cp:lastModifiedBy>
  <dcterms:created xsi:type="dcterms:W3CDTF">2025-11-04T10:25:59Z</dcterms:created>
  <dcterms:modified xsi:type="dcterms:W3CDTF">2025-11-07T11:59:28Z</dcterms:modified>
</cp:coreProperties>
</file>